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流贷测算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595959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sz val="11"/>
    </font>
    <font>
      <name val="微软雅黑"/>
      <b val="1"/>
      <color rgb="00006100"/>
      <sz val="12"/>
    </font>
    <font>
      <name val="微软雅黑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2" fontId="7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30" customWidth="1" min="3" max="3"/>
  </cols>
  <sheetData>
    <row r="1" ht="26" customHeight="1">
      <c r="A1" s="1" t="inlineStr">
        <is>
          <t>银监会流动资金贷款需求量测算模板（标准口径）</t>
        </is>
      </c>
    </row>
    <row r="2">
      <c r="A2" s="2" t="inlineStr">
        <is>
          <t>填写黄色单元格即可，灰色为自动计算。结果仅供测算演示，实际以承贷行模板口径为准。</t>
        </is>
      </c>
    </row>
    <row r="4">
      <c r="A4" s="3" t="inlineStr">
        <is>
          <t>一、基础数据录入（请填写黄色单元格，单位：万元）</t>
        </is>
      </c>
    </row>
    <row r="5">
      <c r="A5" s="4" t="inlineStr">
        <is>
          <t>上年度销售收入</t>
        </is>
      </c>
      <c r="B5" s="5" t="n">
        <v>10000</v>
      </c>
      <c r="C5" s="6" t="inlineStr">
        <is>
          <t>万元</t>
        </is>
      </c>
    </row>
    <row r="6">
      <c r="A6" s="4" t="inlineStr">
        <is>
          <t>上年度销售成本</t>
        </is>
      </c>
      <c r="B6" s="5" t="n">
        <v>8000</v>
      </c>
      <c r="C6" s="6" t="inlineStr">
        <is>
          <t>万元</t>
        </is>
      </c>
    </row>
    <row r="7">
      <c r="A7" s="4" t="inlineStr">
        <is>
          <t>上年度利润总额</t>
        </is>
      </c>
      <c r="B7" s="5" t="n">
        <v>500</v>
      </c>
      <c r="C7" s="6" t="inlineStr">
        <is>
          <t>万元</t>
        </is>
      </c>
    </row>
    <row r="8">
      <c r="A8" s="4" t="inlineStr">
        <is>
          <t>预计销售收入年增长率</t>
        </is>
      </c>
      <c r="B8" s="5" t="n">
        <v>10</v>
      </c>
      <c r="C8" s="6" t="inlineStr">
        <is>
          <t>%（填 10 表示 10%）</t>
        </is>
      </c>
    </row>
    <row r="9">
      <c r="A9" s="4" t="inlineStr">
        <is>
          <t>所有者权益</t>
        </is>
      </c>
      <c r="B9" s="5" t="n">
        <v>3000</v>
      </c>
      <c r="C9" s="6" t="inlineStr">
        <is>
          <t>万元</t>
        </is>
      </c>
    </row>
    <row r="10">
      <c r="A10" s="4" t="inlineStr">
        <is>
          <t>非流动资产</t>
        </is>
      </c>
      <c r="B10" s="5" t="n">
        <v>1500</v>
      </c>
      <c r="C10" s="6" t="inlineStr">
        <is>
          <t>万元</t>
        </is>
      </c>
    </row>
    <row r="11">
      <c r="A11" s="4" t="inlineStr">
        <is>
          <t>现有流动资金贷款</t>
        </is>
      </c>
      <c r="B11" s="5" t="n">
        <v>800</v>
      </c>
      <c r="C11" s="6" t="inlineStr">
        <is>
          <t>万元</t>
        </is>
      </c>
    </row>
    <row r="12">
      <c r="A12" s="4" t="inlineStr">
        <is>
          <t>其他渠道提供的营运资金</t>
        </is>
      </c>
      <c r="B12" s="5" t="n">
        <v>0</v>
      </c>
      <c r="C12" s="6" t="inlineStr">
        <is>
          <t>万元</t>
        </is>
      </c>
    </row>
    <row r="13">
      <c r="A13" s="4" t="inlineStr">
        <is>
          <t>预收账款调整符号</t>
        </is>
      </c>
      <c r="B13" s="5" t="n">
        <v>1</v>
      </c>
      <c r="C13" s="6" t="inlineStr">
        <is>
          <t>银监会标准 = 1；郑州/中原银行 = -1</t>
        </is>
      </c>
    </row>
    <row r="14">
      <c r="A14" s="3" t="inlineStr">
        <is>
          <t>二、营运资金占用科目（上年度期初期末余额，单位：万元）</t>
        </is>
      </c>
    </row>
    <row r="15">
      <c r="A15" s="7" t="inlineStr">
        <is>
          <t>科目</t>
        </is>
      </c>
      <c r="B15" s="7" t="inlineStr">
        <is>
          <t>期初</t>
        </is>
      </c>
      <c r="C15" s="7" t="inlineStr">
        <is>
          <t>期末</t>
        </is>
      </c>
    </row>
    <row r="16">
      <c r="A16" s="4" t="inlineStr">
        <is>
          <t>存货</t>
        </is>
      </c>
      <c r="B16" s="5" t="n">
        <v>1500</v>
      </c>
      <c r="C16" s="5" t="n">
        <v>1700</v>
      </c>
    </row>
    <row r="17">
      <c r="A17" s="4" t="inlineStr">
        <is>
          <t>应收账款</t>
        </is>
      </c>
      <c r="B17" s="5" t="n">
        <v>1200</v>
      </c>
      <c r="C17" s="5" t="n">
        <v>1300</v>
      </c>
    </row>
    <row r="18">
      <c r="A18" s="4" t="inlineStr">
        <is>
          <t>预付账款</t>
        </is>
      </c>
      <c r="B18" s="5" t="n">
        <v>300</v>
      </c>
      <c r="C18" s="5" t="n">
        <v>350</v>
      </c>
    </row>
    <row r="19">
      <c r="A19" s="4" t="inlineStr">
        <is>
          <t>应付账款</t>
        </is>
      </c>
      <c r="B19" s="5" t="n">
        <v>900</v>
      </c>
      <c r="C19" s="5" t="n">
        <v>1000</v>
      </c>
    </row>
    <row r="20">
      <c r="A20" s="4" t="inlineStr">
        <is>
          <t>预收账款</t>
        </is>
      </c>
      <c r="B20" s="5" t="n">
        <v>600</v>
      </c>
      <c r="C20" s="5" t="n">
        <v>700</v>
      </c>
    </row>
    <row r="22">
      <c r="A22" s="3" t="inlineStr">
        <is>
          <t>三、计算过程（自动计算）</t>
        </is>
      </c>
    </row>
    <row r="23">
      <c r="A23" s="4" t="inlineStr">
        <is>
          <t>平均存货余额</t>
        </is>
      </c>
      <c r="B23" s="8">
        <f>(B16+C16)/2</f>
        <v/>
      </c>
      <c r="C23" s="9" t="inlineStr"/>
    </row>
    <row r="24">
      <c r="A24" s="4" t="inlineStr">
        <is>
          <t>平均应收账款余额</t>
        </is>
      </c>
      <c r="B24" s="8">
        <f>(B17+C17)/2</f>
        <v/>
      </c>
      <c r="C24" s="9" t="inlineStr"/>
    </row>
    <row r="25">
      <c r="A25" s="4" t="inlineStr">
        <is>
          <t>平均预付账款余额</t>
        </is>
      </c>
      <c r="B25" s="8">
        <f>(B18+C18)/2</f>
        <v/>
      </c>
      <c r="C25" s="9" t="inlineStr"/>
    </row>
    <row r="26">
      <c r="A26" s="4" t="inlineStr">
        <is>
          <t>平均应付账款余额</t>
        </is>
      </c>
      <c r="B26" s="8">
        <f>(B19+C19)/2</f>
        <v/>
      </c>
      <c r="C26" s="9" t="inlineStr"/>
    </row>
    <row r="27">
      <c r="A27" s="4" t="inlineStr">
        <is>
          <t>平均预收账款余额</t>
        </is>
      </c>
      <c r="B27" s="8">
        <f>(B20+C20)/2</f>
        <v/>
      </c>
      <c r="C27" s="9" t="inlineStr"/>
    </row>
    <row r="28">
      <c r="A28" s="4" t="inlineStr">
        <is>
          <t>存货周转天数</t>
        </is>
      </c>
      <c r="B28" s="8">
        <f>360/(B6/B23)</f>
        <v/>
      </c>
      <c r="C28" s="9" t="inlineStr"/>
    </row>
    <row r="29">
      <c r="A29" s="4" t="inlineStr">
        <is>
          <t>应收账款周转天数</t>
        </is>
      </c>
      <c r="B29" s="8">
        <f>360/(B5/B24)</f>
        <v/>
      </c>
      <c r="C29" s="9" t="inlineStr"/>
    </row>
    <row r="30">
      <c r="A30" s="4" t="inlineStr">
        <is>
          <t>预付账款周转天数</t>
        </is>
      </c>
      <c r="B30" s="8">
        <f>360/(B6/B25)</f>
        <v/>
      </c>
      <c r="C30" s="9" t="inlineStr"/>
    </row>
    <row r="31">
      <c r="A31" s="4" t="inlineStr">
        <is>
          <t>应付账款周转天数</t>
        </is>
      </c>
      <c r="B31" s="8">
        <f>360/(B6/B26)</f>
        <v/>
      </c>
      <c r="C31" s="9" t="inlineStr"/>
    </row>
    <row r="32">
      <c r="A32" s="4" t="inlineStr">
        <is>
          <t>预收账款周转天数</t>
        </is>
      </c>
      <c r="B32" s="8">
        <f>360/(B5/B27)</f>
        <v/>
      </c>
      <c r="C32" s="9" t="inlineStr"/>
    </row>
    <row r="33">
      <c r="A33" s="4" t="inlineStr">
        <is>
          <t>营运资金周转次数</t>
        </is>
      </c>
      <c r="B33" s="10">
        <f>360/(B28+B29+B30-B31+B13*B32)</f>
        <v/>
      </c>
      <c r="C33" s="9" t="inlineStr"/>
    </row>
    <row r="34">
      <c r="A34" s="4" t="inlineStr">
        <is>
          <t>销售利润率（利润/收入）</t>
        </is>
      </c>
      <c r="B34" s="11">
        <f>B7/B5</f>
        <v/>
      </c>
      <c r="C34" s="9" t="inlineStr"/>
    </row>
    <row r="35">
      <c r="A35" s="4" t="inlineStr">
        <is>
          <t>营运资金量</t>
        </is>
      </c>
      <c r="B35" s="8">
        <f>B5*(1-B34)*(1+B8/100)/B33</f>
        <v/>
      </c>
      <c r="C35" s="9" t="inlineStr"/>
    </row>
    <row r="36">
      <c r="A36" s="4" t="inlineStr">
        <is>
          <t>借款人自有资金（所有者权益−非流动资产）</t>
        </is>
      </c>
      <c r="B36" s="8">
        <f>B9-B10</f>
        <v/>
      </c>
      <c r="C36" s="9" t="inlineStr"/>
    </row>
    <row r="37">
      <c r="A37" s="4" t="inlineStr">
        <is>
          <t>新增流动资金贷款额度</t>
        </is>
      </c>
      <c r="B37" s="12">
        <f>B35-B36-B11-B12</f>
        <v/>
      </c>
      <c r="C37" s="6" t="inlineStr">
        <is>
          <t>万元</t>
        </is>
      </c>
    </row>
    <row r="39">
      <c r="A39" s="3" t="inlineStr">
        <is>
          <t>四、测算结果</t>
        </is>
      </c>
    </row>
    <row r="40">
      <c r="A40" s="13" t="inlineStr">
        <is>
          <t>新增流动资金贷款额度（万元）</t>
        </is>
      </c>
      <c r="B40" s="14">
        <f>B37</f>
        <v/>
      </c>
      <c r="C40" s="15">
        <f>TEXT(B37*10000,"约 #,##0 元")</f>
        <v/>
      </c>
    </row>
    <row r="42">
      <c r="A42" s="3" t="inlineStr">
        <is>
          <t>五、重要口径提醒（提交前务必与承贷行对齐）</t>
        </is>
      </c>
    </row>
    <row r="43" ht="30" customHeight="1">
      <c r="A43" s="16" t="inlineStr">
        <is>
          <t>1. 预收符号：银监会办法字面为 +预收；郑州银行、中原银行改为 −预收。预收较大的客户两种口径结果可相差数百万，提交前确认承贷行模板用哪种。</t>
        </is>
      </c>
    </row>
    <row r="44" ht="30" customHeight="1">
      <c r="A44" s="16" t="inlineStr">
        <is>
          <t>2. 自有资金口径：本模板用「所有者权益 − 非流动资产」（银监会/人行/中原口径）。农商行直接取所有者权益；郑州银行用「流动资产 − 流动负债」。</t>
        </is>
      </c>
    </row>
    <row r="45" ht="30" customHeight="1">
      <c r="A45" s="16" t="inlineStr">
        <is>
          <t>3. 销售利润率：建议用 利润总额 ÷ 销售收入（净利率），最保守、合规、跨行可比；部分行用毛利率（1 − 成本率）。</t>
        </is>
      </c>
    </row>
    <row r="46" ht="30" customHeight="1">
      <c r="A46" s="16" t="inlineStr">
        <is>
          <t>4. 周转天数基数：各版本均用 360 天，个别银行可能用 365，遇时再核。</t>
        </is>
      </c>
    </row>
    <row r="47" ht="30" customHeight="1">
      <c r="A47" s="16" t="inlineStr">
        <is>
          <t>5. 平均余额统一取（期初 + 期末）÷ 2，且使用「上年度」数据。</t>
        </is>
      </c>
    </row>
  </sheetData>
  <mergeCells count="12">
    <mergeCell ref="A42:C42"/>
    <mergeCell ref="A44:C44"/>
    <mergeCell ref="A47:C47"/>
    <mergeCell ref="A1:C1"/>
    <mergeCell ref="A45:C45"/>
    <mergeCell ref="A46:C46"/>
    <mergeCell ref="A14:C14"/>
    <mergeCell ref="A22:C22"/>
    <mergeCell ref="A39:C39"/>
    <mergeCell ref="A4:C4"/>
    <mergeCell ref="A43:C4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2026-10-22T06:12:42Z</dcterms:created>
  <dcterms:modified xsi:type="dcterms:W3CDTF">2026-10-22T06:12:42Z</dcterms:modified>
</cp:coreProperties>
</file>